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4240" windowHeight="13020"/>
  </bookViews>
  <sheets>
    <sheet name="Sheet1" sheetId="1" r:id="rId1"/>
  </sheets>
  <definedNames>
    <definedName name="_xlnm._FilterDatabase" localSheetId="0" hidden="1">Sheet1!$A$1:$I$86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H84" i="1"/>
  <c r="D84" i="1"/>
  <c r="I84" i="1" s="1"/>
  <c r="H83" i="1"/>
  <c r="D83" i="1"/>
  <c r="I83" i="1" s="1"/>
  <c r="H82" i="1"/>
  <c r="D82" i="1"/>
  <c r="I82" i="1" s="1"/>
  <c r="H81" i="1"/>
  <c r="D81" i="1"/>
  <c r="I81" i="1" s="1"/>
  <c r="H80" i="1"/>
  <c r="D80" i="1"/>
  <c r="I80" i="1" s="1"/>
  <c r="H79" i="1"/>
  <c r="D79" i="1"/>
  <c r="H78" i="1"/>
  <c r="D78" i="1"/>
  <c r="I78" i="1" s="1"/>
  <c r="H77" i="1"/>
  <c r="D77" i="1"/>
  <c r="I77" i="1" s="1"/>
  <c r="H76" i="1"/>
  <c r="D76" i="1"/>
  <c r="H75" i="1"/>
  <c r="D75" i="1"/>
  <c r="I75" i="1" s="1"/>
  <c r="H74" i="1"/>
  <c r="D74" i="1"/>
  <c r="I74" i="1" s="1"/>
  <c r="H73" i="1"/>
  <c r="D73" i="1"/>
  <c r="H72" i="1"/>
  <c r="D72" i="1"/>
  <c r="I72" i="1" s="1"/>
  <c r="H71" i="1"/>
  <c r="D71" i="1"/>
  <c r="I71" i="1" s="1"/>
  <c r="H70" i="1"/>
  <c r="D70" i="1"/>
  <c r="I70" i="1" s="1"/>
  <c r="H69" i="1"/>
  <c r="D69" i="1"/>
  <c r="I69" i="1" s="1"/>
  <c r="H68" i="1"/>
  <c r="D68" i="1"/>
  <c r="I68" i="1" s="1"/>
  <c r="H67" i="1"/>
  <c r="D67" i="1"/>
  <c r="H66" i="1"/>
  <c r="D66" i="1"/>
  <c r="I66" i="1" s="1"/>
  <c r="H65" i="1"/>
  <c r="D65" i="1"/>
  <c r="I65" i="1" s="1"/>
  <c r="H64" i="1"/>
  <c r="D64" i="1"/>
  <c r="I64" i="1" s="1"/>
  <c r="H63" i="1"/>
  <c r="D63" i="1"/>
  <c r="I63" i="1" s="1"/>
  <c r="H62" i="1"/>
  <c r="D62" i="1"/>
  <c r="I62" i="1" s="1"/>
  <c r="H61" i="1"/>
  <c r="D61" i="1"/>
  <c r="H60" i="1"/>
  <c r="D60" i="1"/>
  <c r="I60" i="1" s="1"/>
  <c r="H59" i="1"/>
  <c r="D59" i="1"/>
  <c r="I59" i="1" s="1"/>
  <c r="H58" i="1"/>
  <c r="D58" i="1"/>
  <c r="I58" i="1" s="1"/>
  <c r="H57" i="1"/>
  <c r="D57" i="1"/>
  <c r="I57" i="1" s="1"/>
  <c r="H56" i="1"/>
  <c r="D56" i="1"/>
  <c r="I56" i="1" s="1"/>
  <c r="H55" i="1"/>
  <c r="D55" i="1"/>
  <c r="H54" i="1"/>
  <c r="D54" i="1"/>
  <c r="I54" i="1" s="1"/>
  <c r="H53" i="1"/>
  <c r="D53" i="1"/>
  <c r="I53" i="1" s="1"/>
  <c r="H52" i="1"/>
  <c r="D52" i="1"/>
  <c r="I52" i="1" s="1"/>
  <c r="H51" i="1"/>
  <c r="D51" i="1"/>
  <c r="I51" i="1" s="1"/>
  <c r="H50" i="1"/>
  <c r="D50" i="1"/>
  <c r="I50" i="1" s="1"/>
  <c r="H49" i="1"/>
  <c r="D49" i="1"/>
  <c r="H48" i="1"/>
  <c r="D48" i="1"/>
  <c r="I48" i="1" s="1"/>
  <c r="H47" i="1"/>
  <c r="D47" i="1"/>
  <c r="I47" i="1" s="1"/>
  <c r="H46" i="1"/>
  <c r="D46" i="1"/>
  <c r="I46" i="1" s="1"/>
  <c r="H45" i="1"/>
  <c r="D45" i="1"/>
  <c r="I45" i="1" s="1"/>
  <c r="H44" i="1"/>
  <c r="D44" i="1"/>
  <c r="I44" i="1" s="1"/>
  <c r="H43" i="1"/>
  <c r="D43" i="1"/>
  <c r="H42" i="1"/>
  <c r="D42" i="1"/>
  <c r="I42" i="1" s="1"/>
  <c r="H41" i="1"/>
  <c r="D41" i="1"/>
  <c r="I41" i="1" s="1"/>
  <c r="H40" i="1"/>
  <c r="D40" i="1"/>
  <c r="I40" i="1" s="1"/>
  <c r="H39" i="1"/>
  <c r="D39" i="1"/>
  <c r="I39" i="1" s="1"/>
  <c r="H38" i="1"/>
  <c r="D38" i="1"/>
  <c r="I38" i="1" s="1"/>
  <c r="H37" i="1"/>
  <c r="D37" i="1"/>
  <c r="H36" i="1"/>
  <c r="D36" i="1"/>
  <c r="I36" i="1" s="1"/>
  <c r="H35" i="1"/>
  <c r="D35" i="1"/>
  <c r="I35" i="1" s="1"/>
  <c r="H34" i="1"/>
  <c r="D34" i="1"/>
  <c r="I34" i="1" s="1"/>
  <c r="H33" i="1"/>
  <c r="D33" i="1"/>
  <c r="I33" i="1" s="1"/>
  <c r="H32" i="1"/>
  <c r="D32" i="1"/>
  <c r="I32" i="1" s="1"/>
  <c r="H31" i="1"/>
  <c r="D31" i="1"/>
  <c r="H30" i="1"/>
  <c r="D30" i="1"/>
  <c r="I30" i="1" s="1"/>
  <c r="H29" i="1"/>
  <c r="D29" i="1"/>
  <c r="I29" i="1" s="1"/>
  <c r="H28" i="1"/>
  <c r="D28" i="1"/>
  <c r="I28" i="1" s="1"/>
  <c r="H27" i="1"/>
  <c r="D27" i="1"/>
  <c r="I27" i="1" s="1"/>
  <c r="H26" i="1"/>
  <c r="D26" i="1"/>
  <c r="I26" i="1" s="1"/>
  <c r="H25" i="1"/>
  <c r="D25" i="1"/>
  <c r="H24" i="1"/>
  <c r="D24" i="1"/>
  <c r="I24" i="1" s="1"/>
  <c r="H23" i="1"/>
  <c r="D23" i="1"/>
  <c r="I23" i="1" s="1"/>
  <c r="H22" i="1"/>
  <c r="D22" i="1"/>
  <c r="I22" i="1" s="1"/>
  <c r="H21" i="1"/>
  <c r="D21" i="1"/>
  <c r="I21" i="1" s="1"/>
  <c r="H20" i="1"/>
  <c r="D20" i="1"/>
  <c r="I20" i="1" s="1"/>
  <c r="H19" i="1"/>
  <c r="D19" i="1"/>
  <c r="H18" i="1"/>
  <c r="D18" i="1"/>
  <c r="I18" i="1" s="1"/>
  <c r="H17" i="1"/>
  <c r="D17" i="1"/>
  <c r="I17" i="1" s="1"/>
  <c r="H16" i="1"/>
  <c r="D16" i="1"/>
  <c r="I16" i="1" s="1"/>
  <c r="H15" i="1"/>
  <c r="D15" i="1"/>
  <c r="I15" i="1" s="1"/>
  <c r="H14" i="1"/>
  <c r="D14" i="1"/>
  <c r="I14" i="1" s="1"/>
  <c r="H13" i="1"/>
  <c r="D13" i="1"/>
  <c r="H12" i="1"/>
  <c r="D12" i="1"/>
  <c r="I12" i="1" s="1"/>
  <c r="H11" i="1"/>
  <c r="D11" i="1"/>
  <c r="I11" i="1" s="1"/>
  <c r="H10" i="1"/>
  <c r="D10" i="1"/>
  <c r="I10" i="1" s="1"/>
  <c r="H9" i="1"/>
  <c r="D9" i="1"/>
  <c r="I9" i="1" s="1"/>
  <c r="H8" i="1"/>
  <c r="D8" i="1"/>
  <c r="I8" i="1" s="1"/>
  <c r="H7" i="1"/>
  <c r="D7" i="1"/>
  <c r="H6" i="1"/>
  <c r="D6" i="1"/>
  <c r="I6" i="1" s="1"/>
  <c r="H5" i="1"/>
  <c r="D5" i="1"/>
  <c r="I5" i="1" s="1"/>
  <c r="H4" i="1"/>
  <c r="D4" i="1"/>
  <c r="I4" i="1" s="1"/>
  <c r="H3" i="1"/>
  <c r="D3" i="1"/>
  <c r="I3" i="1" s="1"/>
  <c r="H2" i="1"/>
  <c r="D2" i="1"/>
  <c r="I2" i="1" s="1"/>
  <c r="I76" i="1" l="1"/>
  <c r="I7" i="1"/>
  <c r="I13" i="1"/>
  <c r="I19" i="1"/>
  <c r="I85" i="1" s="1"/>
  <c r="I86" i="1" s="1"/>
  <c r="I25" i="1"/>
  <c r="I31" i="1"/>
  <c r="I37" i="1"/>
  <c r="I43" i="1"/>
  <c r="I49" i="1"/>
  <c r="I55" i="1"/>
  <c r="I61" i="1"/>
  <c r="I67" i="1"/>
  <c r="I73" i="1"/>
  <c r="I79" i="1"/>
</calcChain>
</file>

<file path=xl/sharedStrings.xml><?xml version="1.0" encoding="utf-8"?>
<sst xmlns="http://schemas.openxmlformats.org/spreadsheetml/2006/main" count="183" uniqueCount="177">
  <si>
    <t>Vol</t>
  </si>
  <si>
    <t>Item code</t>
  </si>
  <si>
    <t>Item Description</t>
  </si>
  <si>
    <t>Unit Basic Price</t>
  </si>
  <si>
    <t>MRP</t>
  </si>
  <si>
    <t>QTY</t>
  </si>
  <si>
    <t>Dis%</t>
  </si>
  <si>
    <t>Factor</t>
  </si>
  <si>
    <t>NET BASIC</t>
  </si>
  <si>
    <t>46171591SD00709</t>
  </si>
  <si>
    <t>Dream Box GS4.5L KL</t>
  </si>
  <si>
    <t>46171591SD00496</t>
  </si>
  <si>
    <t>Home Lckr KL (M) Ivory</t>
  </si>
  <si>
    <t>46171591SD00497</t>
  </si>
  <si>
    <t>HomeLckrKeyLockGrey(M)KL</t>
  </si>
  <si>
    <t>46171591SD00700</t>
  </si>
  <si>
    <t>Home Lckr KL 33L Ivory</t>
  </si>
  <si>
    <t>46171591SD00701</t>
  </si>
  <si>
    <t>Home Lckr KL 33L  Ebony</t>
  </si>
  <si>
    <t>46171591SD00710</t>
  </si>
  <si>
    <t>Dream Box GS4.5L EL Red</t>
  </si>
  <si>
    <t>46171591SD00711</t>
  </si>
  <si>
    <t>Dream Box GS4.5L EL Blue</t>
  </si>
  <si>
    <t>46171591SD00712</t>
  </si>
  <si>
    <t>Dream Box GS4.5L EL Pink</t>
  </si>
  <si>
    <t>46171591SD00713</t>
  </si>
  <si>
    <t>Dream Box GS4.5L EL Black</t>
  </si>
  <si>
    <t>46171591SD00568</t>
  </si>
  <si>
    <t>Home Lckr Digi Ivory 8L IBuzz</t>
  </si>
  <si>
    <t>46171591SD00567</t>
  </si>
  <si>
    <t>Home Lckr Digi Ebony 8L IBuzz</t>
  </si>
  <si>
    <t>46171591SD00561</t>
  </si>
  <si>
    <t>Home Lckr Digi Ivory 15L IBuzz</t>
  </si>
  <si>
    <t>46171591SD00562</t>
  </si>
  <si>
    <t>Home Lckr Digi Ebony 15L IBuzz</t>
  </si>
  <si>
    <t>46171591SD00572</t>
  </si>
  <si>
    <t>Home Lckr Digi Ivory 25L IBuzz</t>
  </si>
  <si>
    <t>46171591SD00571</t>
  </si>
  <si>
    <t>Home Lckr Digi Ebony 25L IBuzz</t>
  </si>
  <si>
    <t>46171591SD00574</t>
  </si>
  <si>
    <t>Home Lckr Digi Ivory 30L IBuzz</t>
  </si>
  <si>
    <t>46171591SD00573</t>
  </si>
  <si>
    <t>Home Lckr Digi Ebony 30L IBuzz</t>
  </si>
  <si>
    <t>46171591SD00578</t>
  </si>
  <si>
    <t>Home Lckr Digi Ivory 40L IBuzz</t>
  </si>
  <si>
    <t>46171591SD00577</t>
  </si>
  <si>
    <t>Home Lckr Digi Ebony 40L IBuzz</t>
  </si>
  <si>
    <t>46171591SD00722</t>
  </si>
  <si>
    <t xml:space="preserve">Home Lckr 15L Digi + BIO Ebony  </t>
  </si>
  <si>
    <t>46171591SD00723</t>
  </si>
  <si>
    <t xml:space="preserve">Home Lckr 30L Digi + BIO Ebony  </t>
  </si>
  <si>
    <t>46171591SD00724</t>
  </si>
  <si>
    <t xml:space="preserve">Home Lckr 45L Digi + BIO Ebony  </t>
  </si>
  <si>
    <t>46171591SD00725</t>
  </si>
  <si>
    <t xml:space="preserve">Home Lckr 70L Digi + BIO Ebony  </t>
  </si>
  <si>
    <t>46171591SD00714</t>
  </si>
  <si>
    <t xml:space="preserve">Home Lckr 160L KBEL Black   </t>
  </si>
  <si>
    <t>46171591SD00715</t>
  </si>
  <si>
    <t xml:space="preserve">Home Lckr 210L KBEL Black   </t>
  </si>
  <si>
    <t>46171591SD00716</t>
  </si>
  <si>
    <t xml:space="preserve">Home Lckr 370L KBEL Black   </t>
  </si>
  <si>
    <t>46171591SD00717</t>
  </si>
  <si>
    <t xml:space="preserve">Home Lckr 560L KBEL Black   </t>
  </si>
  <si>
    <t>46171591SD00706</t>
  </si>
  <si>
    <t>Verge PL2L EL White</t>
  </si>
  <si>
    <t>46171591SD00705</t>
  </si>
  <si>
    <t>Verge PL2L BL White</t>
  </si>
  <si>
    <t>46171591SD00018</t>
  </si>
  <si>
    <t>Cash Box + CnTry Brn</t>
  </si>
  <si>
    <t>46171591SD00031</t>
  </si>
  <si>
    <t xml:space="preserve"> CofferP V1Red ChGr</t>
  </si>
  <si>
    <t>46171591SD00005</t>
  </si>
  <si>
    <t>E-Swipe</t>
  </si>
  <si>
    <t>46171591SD00540</t>
  </si>
  <si>
    <t>Ritz Digital EL Black/White</t>
  </si>
  <si>
    <t>46171591SD00541</t>
  </si>
  <si>
    <t>Ritz Bio Black/White</t>
  </si>
  <si>
    <t>46171591SD00139</t>
  </si>
  <si>
    <t>RhinoG V1 GL Gold</t>
  </si>
  <si>
    <t>46171591SD00020</t>
  </si>
  <si>
    <t>Rhino ElectG EL Gold</t>
  </si>
  <si>
    <t>46171591SD00621</t>
  </si>
  <si>
    <t>Rhino Advanced  KL GL Gold</t>
  </si>
  <si>
    <t>46171591SD00702</t>
  </si>
  <si>
    <t>Rhino Advanced V2 EL Gold</t>
  </si>
  <si>
    <t>46171591SD00763</t>
  </si>
  <si>
    <t>Rhino Regal KL Grey</t>
  </si>
  <si>
    <t>46171591SD00764</t>
  </si>
  <si>
    <t>Rhino Regal KL Brown</t>
  </si>
  <si>
    <t>46171591SD00699</t>
  </si>
  <si>
    <t>Citadel 45 V2 GL Ivory</t>
  </si>
  <si>
    <t>46171591SD00542</t>
  </si>
  <si>
    <t xml:space="preserve"> Safire 20 V 2KL Black</t>
  </si>
  <si>
    <t>46171591SD00193</t>
  </si>
  <si>
    <t xml:space="preserve"> Safire 40L + 2 KL LITE B</t>
  </si>
  <si>
    <t>46171591SD00186</t>
  </si>
  <si>
    <t xml:space="preserve"> Safire 40L EL LITE B</t>
  </si>
  <si>
    <t>46171591SD00278</t>
  </si>
  <si>
    <t>CentiG FR Lite-560 2KL</t>
  </si>
  <si>
    <t>46171591SD00280</t>
  </si>
  <si>
    <t>CentiG FR Lite-1060 2KL</t>
  </si>
  <si>
    <t>46171591SD00609</t>
  </si>
  <si>
    <t>CentiG FR Lite-560 + EL</t>
  </si>
  <si>
    <t>46171591SD00610</t>
  </si>
  <si>
    <t>CentiG FR Lite-1060 + EL</t>
  </si>
  <si>
    <t>46171591SD00757</t>
  </si>
  <si>
    <t>Matrix 1814-12 V6 KL Coffee</t>
  </si>
  <si>
    <t>46171591SD00758</t>
  </si>
  <si>
    <t>Matrix 1814-12 V6 EL Coffee</t>
  </si>
  <si>
    <t>46171591SD00759</t>
  </si>
  <si>
    <t>Matrix 2414 V6 KL Coffee Brown</t>
  </si>
  <si>
    <t>46171591SD00693</t>
  </si>
  <si>
    <t>Matrix 2414 V5 EL + KL Coffee Brown</t>
  </si>
  <si>
    <t>46171591SD00695</t>
  </si>
  <si>
    <t>Matrix 3016 V5 EL + KL Coffee Brown</t>
  </si>
  <si>
    <t>46171591SD00761</t>
  </si>
  <si>
    <t>Matrix 3016 V6 KL Coffee Brown</t>
  </si>
  <si>
    <t>46171591SD00469</t>
  </si>
  <si>
    <t>Presidio 50 V1 KL Off White</t>
  </si>
  <si>
    <t>46171591SD00599</t>
  </si>
  <si>
    <t>Capital Lckr Digi HS08L EL</t>
  </si>
  <si>
    <t>46171591SD00600</t>
  </si>
  <si>
    <t>Capital Lckr Digi HS15L EL</t>
  </si>
  <si>
    <t>46171591SD00676</t>
  </si>
  <si>
    <t>Capital Lckr Digi HS 25L EL</t>
  </si>
  <si>
    <t>46171591SD00527</t>
  </si>
  <si>
    <t>Odys Pro 25L HS (Black) EL</t>
  </si>
  <si>
    <t>46171591SD00526</t>
  </si>
  <si>
    <t>Odys Pro 15L HS (Black) EL</t>
  </si>
  <si>
    <t>Net Basic</t>
  </si>
  <si>
    <t>Net Amount (Incl 18% GST)</t>
  </si>
  <si>
    <t>46171591SD00766</t>
  </si>
  <si>
    <t>Home Lckr MYST BIG Blue</t>
  </si>
  <si>
    <t>46171591SD00767</t>
  </si>
  <si>
    <t>Home Lckr MYST SMALL Blue</t>
  </si>
  <si>
    <t>46171591SD00737</t>
  </si>
  <si>
    <t>HOME LCKR DIGI 8L KEY CABINET</t>
  </si>
  <si>
    <t>46171591SD00753</t>
  </si>
  <si>
    <t>Home Lckr Floor Seal 25L KL</t>
  </si>
  <si>
    <t>46171591SD00728</t>
  </si>
  <si>
    <t>Home Lckr Slide 13L Digi + Bio</t>
  </si>
  <si>
    <t>46171591SD00748</t>
  </si>
  <si>
    <t>Home Lckr Luxe 30L Digi + Bio</t>
  </si>
  <si>
    <t>46171591SD00750</t>
  </si>
  <si>
    <t>Home Lckr Luxe 48L Digi + Bio</t>
  </si>
  <si>
    <t>46171591SD00769</t>
  </si>
  <si>
    <t>CofferP V1 with GL Red</t>
  </si>
  <si>
    <t>46171591SD00038</t>
  </si>
  <si>
    <t>Privy EL Off White</t>
  </si>
  <si>
    <t>46171591SD00595</t>
  </si>
  <si>
    <t>Ritz Bio grey/ Black</t>
  </si>
  <si>
    <t>46171591SD00277</t>
  </si>
  <si>
    <t>CentiG FR Lite-445 2KL</t>
  </si>
  <si>
    <t>46171591SD00760</t>
  </si>
  <si>
    <t>Matrix 2414 V6 EL + KL Coffee</t>
  </si>
  <si>
    <t>46171591SD00762</t>
  </si>
  <si>
    <t>Matrix 3016 V6 EL + KL Coffee</t>
  </si>
  <si>
    <t>46171591SD00601</t>
  </si>
  <si>
    <t>Capital Lckr Digi GS08L EL</t>
  </si>
  <si>
    <t>46171591SD00602</t>
  </si>
  <si>
    <t>Capital Lckr Digi GS15L EL</t>
  </si>
  <si>
    <t xml:space="preserve">46171591SD00148 </t>
  </si>
  <si>
    <t xml:space="preserve">Odys Model 1 EL Black </t>
  </si>
  <si>
    <t>46171591PA00314</t>
  </si>
  <si>
    <t xml:space="preserve">PA CEU Unit for Hotel Safe </t>
  </si>
  <si>
    <t>Paint</t>
  </si>
  <si>
    <t>31211504SD00622</t>
  </si>
  <si>
    <t>IndPnt Acr AD Ivory spray can</t>
  </si>
  <si>
    <t>31211504SD01610</t>
  </si>
  <si>
    <t>IndPnt Acr AD SG Metallic Bevel Black</t>
  </si>
  <si>
    <t>31211504SD02199</t>
  </si>
  <si>
    <t>IndPnt Acr AD SG Coffee Brown</t>
  </si>
  <si>
    <t>31211504SD02209</t>
  </si>
  <si>
    <t>IndPnt Acr AD Tex Black</t>
  </si>
  <si>
    <t>31211504SD02210</t>
  </si>
  <si>
    <t>31211504SD00621</t>
  </si>
  <si>
    <t>IndPnt Acr AD Grey spray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</si>
</sst>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General"/>
    <numFmt numFmtId="165" formatCode="0&quot; &quot;"/>
    <numFmt numFmtId="166" formatCode="&quot; &quot;#,##0.00&quot; &quot;;&quot; -&quot;#,##0.00&quot; &quot;;&quot; -&quot;#&quot; &quot;;&quot; &quot;@&quot; &quot;"/>
  </numFmts>
  <fonts count="13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Border="0" applyProtection="0">
      <alignment vertical="center"/>
    </xf>
  </cellStyleXfs>
  <cellXfs count="28">
    <xf numFmtId="0" fontId="0" fillId="0" borderId="0" xfId="0"/>
    <xf numFmtId="164" fontId="2" fillId="2" borderId="1" xfId="1" applyFont="1" applyFill="1" applyBorder="1" applyAlignment="1" applyProtection="1">
      <alignment horizontal="center" vertical="center" wrapText="1"/>
    </xf>
    <xf numFmtId="164" fontId="3" fillId="2" borderId="1" xfId="1" applyFont="1" applyFill="1" applyBorder="1" applyAlignment="1" applyProtection="1">
      <alignment horizontal="center" vertical="center"/>
    </xf>
    <xf numFmtId="164" fontId="2" fillId="2" borderId="1" xfId="1" applyFont="1" applyFill="1" applyBorder="1" applyAlignment="1" applyProtection="1">
      <alignment horizontal="center" vertical="center"/>
    </xf>
    <xf numFmtId="164" fontId="4" fillId="0" borderId="2" xfId="1" applyFont="1" applyBorder="1" applyAlignment="1" applyProtection="1">
      <alignment horizontal="center" vertical="center"/>
    </xf>
    <xf numFmtId="164" fontId="4" fillId="0" borderId="1" xfId="1" applyFont="1" applyBorder="1" applyAlignment="1" applyProtection="1">
      <alignment horizontal="center" vertical="center"/>
    </xf>
    <xf numFmtId="164" fontId="5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0" borderId="1" xfId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1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4" fillId="0" borderId="1" xfId="1" applyNumberFormat="1" applyFont="1" applyBorder="1" applyAlignment="1" applyProtection="1">
      <alignment horizontal="center" vertical="center"/>
    </xf>
    <xf numFmtId="165" fontId="4" fillId="0" borderId="1" xfId="1" applyNumberFormat="1" applyFont="1" applyBorder="1" applyAlignment="1" applyProtection="1">
      <alignment horizontal="center" vertical="center"/>
    </xf>
    <xf numFmtId="166" fontId="4" fillId="0" borderId="1" xfId="1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1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4" fillId="0" borderId="2" xfId="1" applyNumberFormat="1" applyFont="1" applyBorder="1" applyAlignment="1" applyProtection="1">
      <alignment horizontal="center" vertical="center"/>
    </xf>
    <xf numFmtId="165" fontId="4" fillId="0" borderId="2" xfId="1" applyNumberFormat="1" applyFont="1" applyBorder="1" applyAlignment="1" applyProtection="1">
      <alignment horizontal="center" vertical="center"/>
    </xf>
    <xf numFmtId="164" fontId="12" fillId="0" borderId="1" xfId="1" applyFont="1" applyBorder="1" applyAlignment="1" applyProtection="1">
      <alignment horizontal="center" vertical="center"/>
    </xf>
    <xf numFmtId="164" fontId="2" fillId="0" borderId="1" xfId="1" applyFont="1" applyBorder="1" applyAlignment="1" applyProtection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</xf>
    <xf numFmtId="164" fontId="3" fillId="0" borderId="1" xfId="1" applyFont="1" applyBorder="1" applyAlignment="1" applyProtection="1">
      <alignment horizontal="center" vertical="center"/>
    </xf>
    <xf numFmtId="164" fontId="2" fillId="0" borderId="1" xfId="1" applyFont="1" applyBorder="1" applyAlignment="1" applyProtection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A81" workbookViewId="0">
      <selection activeCell="F102" sqref="F102"/>
    </sheetView>
  </sheetViews>
  <sheetFormatPr defaultRowHeight="14.25"/>
  <cols>
    <col min="1" max="1" width="4.375" bestFit="1" customWidth="1"/>
    <col min="2" max="2" width="18.75" bestFit="1" customWidth="1"/>
    <col min="3" max="3" width="36.25" bestFit="1" customWidth="1"/>
    <col min="4" max="4" width="16.125" bestFit="1" customWidth="1"/>
    <col min="5" max="5" width="8.375" bestFit="1" customWidth="1"/>
    <col min="6" max="6" width="4.875" bestFit="1" customWidth="1"/>
    <col min="7" max="7" width="5.625" bestFit="1" customWidth="1"/>
    <col min="8" max="8" width="7.25" bestFit="1" customWidth="1"/>
    <col min="9" max="9" width="11" bestFit="1" customWidth="1"/>
  </cols>
  <sheetData>
    <row r="1" spans="1:9" ht="15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>
      <c r="A2" s="5"/>
      <c r="B2" s="5" t="s">
        <v>131</v>
      </c>
      <c r="C2" s="7" t="s">
        <v>132</v>
      </c>
      <c r="D2" s="12">
        <f>E2/1.18</f>
        <v>1016.1016949152543</v>
      </c>
      <c r="E2" s="13">
        <v>1199</v>
      </c>
      <c r="F2" s="5">
        <v>0</v>
      </c>
      <c r="G2" s="5">
        <v>20.399999999999999</v>
      </c>
      <c r="H2" s="14">
        <f>100-G2</f>
        <v>79.599999999999994</v>
      </c>
      <c r="I2" s="13">
        <f>D2*H2/100*F2</f>
        <v>0</v>
      </c>
    </row>
    <row r="3" spans="1:9" ht="15.75">
      <c r="A3" s="5"/>
      <c r="B3" s="5" t="s">
        <v>133</v>
      </c>
      <c r="C3" s="7" t="s">
        <v>134</v>
      </c>
      <c r="D3" s="12">
        <f t="shared" ref="D3:D8" si="0">E3/1.18</f>
        <v>846.61016949152543</v>
      </c>
      <c r="E3" s="13">
        <v>999</v>
      </c>
      <c r="F3" s="5">
        <v>0</v>
      </c>
      <c r="G3" s="5">
        <v>20.399999999999999</v>
      </c>
      <c r="H3" s="14">
        <f>100-G3</f>
        <v>79.599999999999994</v>
      </c>
      <c r="I3" s="13">
        <f>D3*H3/100*F3</f>
        <v>0</v>
      </c>
    </row>
    <row r="4" spans="1:9" ht="15.75">
      <c r="A4" s="5">
        <v>4.5</v>
      </c>
      <c r="B4" s="15" t="s">
        <v>9</v>
      </c>
      <c r="C4" s="6" t="s">
        <v>10</v>
      </c>
      <c r="D4" s="12">
        <f t="shared" si="0"/>
        <v>2965.2542372881358</v>
      </c>
      <c r="E4" s="13">
        <v>3499</v>
      </c>
      <c r="F4" s="5">
        <v>0</v>
      </c>
      <c r="G4" s="5">
        <v>20.399999999999999</v>
      </c>
      <c r="H4" s="14">
        <f>100-G4</f>
        <v>79.599999999999994</v>
      </c>
      <c r="I4" s="13">
        <f t="shared" ref="I4:I67" si="1">D4*H4/100*F4</f>
        <v>0</v>
      </c>
    </row>
    <row r="5" spans="1:9" ht="15.75">
      <c r="A5" s="5">
        <v>8</v>
      </c>
      <c r="B5" s="7" t="s">
        <v>135</v>
      </c>
      <c r="C5" s="7" t="s">
        <v>136</v>
      </c>
      <c r="D5" s="12">
        <f t="shared" si="0"/>
        <v>13811.864406779661</v>
      </c>
      <c r="E5" s="13">
        <v>16298</v>
      </c>
      <c r="F5" s="5">
        <v>0</v>
      </c>
      <c r="G5" s="5">
        <v>20.399999999999999</v>
      </c>
      <c r="H5" s="14">
        <f>100-G5</f>
        <v>79.599999999999994</v>
      </c>
      <c r="I5" s="13">
        <f t="shared" si="1"/>
        <v>0</v>
      </c>
    </row>
    <row r="6" spans="1:9" ht="15.75">
      <c r="A6" s="5">
        <v>15</v>
      </c>
      <c r="B6" s="15" t="s">
        <v>11</v>
      </c>
      <c r="C6" s="6" t="s">
        <v>12</v>
      </c>
      <c r="D6" s="12">
        <f t="shared" si="0"/>
        <v>7711.016949152543</v>
      </c>
      <c r="E6" s="5">
        <v>9099</v>
      </c>
      <c r="F6" s="5">
        <v>0</v>
      </c>
      <c r="G6" s="5">
        <v>20.399999999999999</v>
      </c>
      <c r="H6" s="14">
        <f t="shared" ref="H6:H69" si="2">100-G6</f>
        <v>79.599999999999994</v>
      </c>
      <c r="I6" s="13">
        <f t="shared" si="1"/>
        <v>0</v>
      </c>
    </row>
    <row r="7" spans="1:9" ht="15.75">
      <c r="A7" s="5">
        <v>15</v>
      </c>
      <c r="B7" s="6" t="s">
        <v>13</v>
      </c>
      <c r="C7" s="6" t="s">
        <v>14</v>
      </c>
      <c r="D7" s="12">
        <f t="shared" si="0"/>
        <v>7711.016949152543</v>
      </c>
      <c r="E7" s="5">
        <v>9099</v>
      </c>
      <c r="F7" s="5">
        <v>0</v>
      </c>
      <c r="G7" s="5">
        <v>20.399999999999999</v>
      </c>
      <c r="H7" s="14">
        <f t="shared" si="2"/>
        <v>79.599999999999994</v>
      </c>
      <c r="I7" s="13">
        <f t="shared" si="1"/>
        <v>0</v>
      </c>
    </row>
    <row r="8" spans="1:9" ht="15.75">
      <c r="A8" s="5">
        <v>25</v>
      </c>
      <c r="B8" s="5" t="s">
        <v>137</v>
      </c>
      <c r="C8" s="16" t="s">
        <v>138</v>
      </c>
      <c r="D8" s="12">
        <f t="shared" si="0"/>
        <v>14066.949152542373</v>
      </c>
      <c r="E8" s="13">
        <v>16599</v>
      </c>
      <c r="F8" s="5">
        <v>0</v>
      </c>
      <c r="G8" s="5">
        <v>20.399999999999999</v>
      </c>
      <c r="H8" s="14">
        <f>100-G8</f>
        <v>79.599999999999994</v>
      </c>
      <c r="I8" s="13">
        <f t="shared" si="1"/>
        <v>0</v>
      </c>
    </row>
    <row r="9" spans="1:9" ht="15.75">
      <c r="A9" s="5">
        <v>33</v>
      </c>
      <c r="B9" s="6" t="s">
        <v>15</v>
      </c>
      <c r="C9" s="6" t="s">
        <v>16</v>
      </c>
      <c r="D9" s="12">
        <f>E9/1.18</f>
        <v>15592.372881355934</v>
      </c>
      <c r="E9" s="5">
        <v>18399</v>
      </c>
      <c r="F9" s="5">
        <v>0</v>
      </c>
      <c r="G9" s="5">
        <v>20.399999999999999</v>
      </c>
      <c r="H9" s="14">
        <f t="shared" si="2"/>
        <v>79.599999999999994</v>
      </c>
      <c r="I9" s="13">
        <f t="shared" si="1"/>
        <v>0</v>
      </c>
    </row>
    <row r="10" spans="1:9" ht="15.75">
      <c r="A10" s="5">
        <v>33</v>
      </c>
      <c r="B10" s="6" t="s">
        <v>17</v>
      </c>
      <c r="C10" s="6" t="s">
        <v>18</v>
      </c>
      <c r="D10" s="12">
        <f t="shared" ref="D10:D63" si="3">E10/1.18</f>
        <v>15592.372881355934</v>
      </c>
      <c r="E10" s="5">
        <v>18399</v>
      </c>
      <c r="F10" s="5">
        <v>0</v>
      </c>
      <c r="G10" s="5">
        <v>20.399999999999999</v>
      </c>
      <c r="H10" s="14">
        <f t="shared" si="2"/>
        <v>79.599999999999994</v>
      </c>
      <c r="I10" s="13">
        <f t="shared" si="1"/>
        <v>0</v>
      </c>
    </row>
    <row r="11" spans="1:9" ht="15.75">
      <c r="A11" s="5">
        <v>4.5</v>
      </c>
      <c r="B11" s="15" t="s">
        <v>19</v>
      </c>
      <c r="C11" s="6" t="s">
        <v>20</v>
      </c>
      <c r="D11" s="12">
        <f>E11/1.18</f>
        <v>3812.71186440678</v>
      </c>
      <c r="E11" s="13">
        <v>4499</v>
      </c>
      <c r="F11" s="5">
        <v>0</v>
      </c>
      <c r="G11" s="5">
        <v>20.399999999999999</v>
      </c>
      <c r="H11" s="14">
        <f t="shared" si="2"/>
        <v>79.599999999999994</v>
      </c>
      <c r="I11" s="13">
        <f t="shared" si="1"/>
        <v>0</v>
      </c>
    </row>
    <row r="12" spans="1:9" ht="15.75">
      <c r="A12" s="5">
        <v>4.5</v>
      </c>
      <c r="B12" s="15" t="s">
        <v>21</v>
      </c>
      <c r="C12" s="6" t="s">
        <v>22</v>
      </c>
      <c r="D12" s="12">
        <f>E12/1.18</f>
        <v>3812.71186440678</v>
      </c>
      <c r="E12" s="13">
        <v>4499</v>
      </c>
      <c r="F12" s="5">
        <v>0</v>
      </c>
      <c r="G12" s="5">
        <v>20.399999999999999</v>
      </c>
      <c r="H12" s="14">
        <f t="shared" si="2"/>
        <v>79.599999999999994</v>
      </c>
      <c r="I12" s="13">
        <f t="shared" si="1"/>
        <v>0</v>
      </c>
    </row>
    <row r="13" spans="1:9" ht="15.75">
      <c r="A13" s="5">
        <v>4.5</v>
      </c>
      <c r="B13" s="15" t="s">
        <v>23</v>
      </c>
      <c r="C13" s="6" t="s">
        <v>24</v>
      </c>
      <c r="D13" s="12">
        <f>E13/1.18</f>
        <v>3812.71186440678</v>
      </c>
      <c r="E13" s="13">
        <v>4499</v>
      </c>
      <c r="F13" s="5">
        <v>0</v>
      </c>
      <c r="G13" s="5">
        <v>20.399999999999999</v>
      </c>
      <c r="H13" s="14">
        <f t="shared" si="2"/>
        <v>79.599999999999994</v>
      </c>
      <c r="I13" s="13">
        <f t="shared" si="1"/>
        <v>0</v>
      </c>
    </row>
    <row r="14" spans="1:9" ht="15.75">
      <c r="A14" s="5">
        <v>4.5</v>
      </c>
      <c r="B14" s="15" t="s">
        <v>25</v>
      </c>
      <c r="C14" s="6" t="s">
        <v>26</v>
      </c>
      <c r="D14" s="12">
        <f>E14/1.18</f>
        <v>3812.71186440678</v>
      </c>
      <c r="E14" s="13">
        <v>4499</v>
      </c>
      <c r="F14" s="5">
        <v>0</v>
      </c>
      <c r="G14" s="5">
        <v>20.399999999999999</v>
      </c>
      <c r="H14" s="14">
        <f t="shared" si="2"/>
        <v>79.599999999999994</v>
      </c>
      <c r="I14" s="13">
        <f t="shared" si="1"/>
        <v>0</v>
      </c>
    </row>
    <row r="15" spans="1:9" ht="15.75">
      <c r="A15" s="5">
        <v>8</v>
      </c>
      <c r="B15" s="6" t="s">
        <v>27</v>
      </c>
      <c r="C15" s="6" t="s">
        <v>28</v>
      </c>
      <c r="D15" s="12">
        <f t="shared" si="3"/>
        <v>9066.9491525423728</v>
      </c>
      <c r="E15" s="5">
        <v>10699</v>
      </c>
      <c r="F15" s="5">
        <v>0</v>
      </c>
      <c r="G15" s="5">
        <v>20.399999999999999</v>
      </c>
      <c r="H15" s="14">
        <f t="shared" si="2"/>
        <v>79.599999999999994</v>
      </c>
      <c r="I15" s="13">
        <f t="shared" si="1"/>
        <v>0</v>
      </c>
    </row>
    <row r="16" spans="1:9" ht="15.75">
      <c r="A16" s="5">
        <v>8</v>
      </c>
      <c r="B16" s="6" t="s">
        <v>29</v>
      </c>
      <c r="C16" s="6" t="s">
        <v>30</v>
      </c>
      <c r="D16" s="12">
        <f>E16/1.18</f>
        <v>9066.9491525423728</v>
      </c>
      <c r="E16" s="5">
        <v>10699</v>
      </c>
      <c r="F16" s="5">
        <v>0</v>
      </c>
      <c r="G16" s="5">
        <v>20.399999999999999</v>
      </c>
      <c r="H16" s="14">
        <f t="shared" si="2"/>
        <v>79.599999999999994</v>
      </c>
      <c r="I16" s="13">
        <f t="shared" si="1"/>
        <v>0</v>
      </c>
    </row>
    <row r="17" spans="1:9" ht="15.75">
      <c r="A17" s="5">
        <v>15</v>
      </c>
      <c r="B17" s="6" t="s">
        <v>31</v>
      </c>
      <c r="C17" s="6" t="s">
        <v>32</v>
      </c>
      <c r="D17" s="12">
        <f t="shared" si="3"/>
        <v>10931.355932203391</v>
      </c>
      <c r="E17" s="13">
        <v>12899</v>
      </c>
      <c r="F17" s="5">
        <v>0</v>
      </c>
      <c r="G17" s="5">
        <v>20.399999999999999</v>
      </c>
      <c r="H17" s="14">
        <f t="shared" si="2"/>
        <v>79.599999999999994</v>
      </c>
      <c r="I17" s="13">
        <f t="shared" si="1"/>
        <v>0</v>
      </c>
    </row>
    <row r="18" spans="1:9" ht="15.75">
      <c r="A18" s="5">
        <v>15</v>
      </c>
      <c r="B18" s="5" t="s">
        <v>33</v>
      </c>
      <c r="C18" s="6" t="s">
        <v>34</v>
      </c>
      <c r="D18" s="12">
        <f t="shared" si="3"/>
        <v>10931.355932203391</v>
      </c>
      <c r="E18" s="13">
        <v>12899</v>
      </c>
      <c r="F18" s="5">
        <v>0</v>
      </c>
      <c r="G18" s="5">
        <v>20.399999999999999</v>
      </c>
      <c r="H18" s="14">
        <f t="shared" si="2"/>
        <v>79.599999999999994</v>
      </c>
      <c r="I18" s="13">
        <f t="shared" si="1"/>
        <v>0</v>
      </c>
    </row>
    <row r="19" spans="1:9" ht="15.75">
      <c r="A19" s="5">
        <v>25</v>
      </c>
      <c r="B19" s="6" t="s">
        <v>35</v>
      </c>
      <c r="C19" s="6" t="s">
        <v>36</v>
      </c>
      <c r="D19" s="12">
        <f t="shared" si="3"/>
        <v>15422.881355932204</v>
      </c>
      <c r="E19" s="13">
        <v>18199</v>
      </c>
      <c r="F19" s="5">
        <v>0</v>
      </c>
      <c r="G19" s="5">
        <v>20.399999999999999</v>
      </c>
      <c r="H19" s="14">
        <f t="shared" si="2"/>
        <v>79.599999999999994</v>
      </c>
      <c r="I19" s="13">
        <f t="shared" si="1"/>
        <v>0</v>
      </c>
    </row>
    <row r="20" spans="1:9" ht="15.75">
      <c r="A20" s="5">
        <v>25</v>
      </c>
      <c r="B20" s="6" t="s">
        <v>37</v>
      </c>
      <c r="C20" s="6" t="s">
        <v>38</v>
      </c>
      <c r="D20" s="12">
        <f t="shared" si="3"/>
        <v>15422.881355932204</v>
      </c>
      <c r="E20" s="13">
        <v>18199</v>
      </c>
      <c r="F20" s="5">
        <v>0</v>
      </c>
      <c r="G20" s="5">
        <v>20.399999999999999</v>
      </c>
      <c r="H20" s="14">
        <f t="shared" si="2"/>
        <v>79.599999999999994</v>
      </c>
      <c r="I20" s="13">
        <f t="shared" si="1"/>
        <v>0</v>
      </c>
    </row>
    <row r="21" spans="1:9" ht="15.75">
      <c r="A21" s="5">
        <v>30</v>
      </c>
      <c r="B21" s="5" t="s">
        <v>39</v>
      </c>
      <c r="C21" s="5" t="s">
        <v>40</v>
      </c>
      <c r="D21" s="12">
        <f t="shared" si="3"/>
        <v>18050</v>
      </c>
      <c r="E21" s="13">
        <v>21299</v>
      </c>
      <c r="F21" s="5">
        <v>0</v>
      </c>
      <c r="G21" s="5">
        <v>20.399999999999999</v>
      </c>
      <c r="H21" s="14">
        <f t="shared" si="2"/>
        <v>79.599999999999994</v>
      </c>
      <c r="I21" s="13">
        <f t="shared" si="1"/>
        <v>0</v>
      </c>
    </row>
    <row r="22" spans="1:9" ht="15.75">
      <c r="A22" s="5">
        <v>30</v>
      </c>
      <c r="B22" s="5" t="s">
        <v>41</v>
      </c>
      <c r="C22" s="5" t="s">
        <v>42</v>
      </c>
      <c r="D22" s="12">
        <f t="shared" si="3"/>
        <v>18050</v>
      </c>
      <c r="E22" s="13">
        <v>21299</v>
      </c>
      <c r="F22" s="5">
        <v>0</v>
      </c>
      <c r="G22" s="5">
        <v>20.399999999999999</v>
      </c>
      <c r="H22" s="14">
        <f t="shared" si="2"/>
        <v>79.599999999999994</v>
      </c>
      <c r="I22" s="13">
        <f t="shared" si="1"/>
        <v>0</v>
      </c>
    </row>
    <row r="23" spans="1:9" ht="15.75">
      <c r="A23" s="5">
        <v>40</v>
      </c>
      <c r="B23" s="5" t="s">
        <v>43</v>
      </c>
      <c r="C23" s="5" t="s">
        <v>44</v>
      </c>
      <c r="D23" s="12">
        <f t="shared" si="3"/>
        <v>19999.152542372882</v>
      </c>
      <c r="E23" s="13">
        <v>23599</v>
      </c>
      <c r="F23" s="5">
        <v>0</v>
      </c>
      <c r="G23" s="5">
        <v>20.399999999999999</v>
      </c>
      <c r="H23" s="14">
        <f t="shared" si="2"/>
        <v>79.599999999999994</v>
      </c>
      <c r="I23" s="13">
        <f t="shared" si="1"/>
        <v>0</v>
      </c>
    </row>
    <row r="24" spans="1:9" ht="15.75">
      <c r="A24" s="5">
        <v>40</v>
      </c>
      <c r="B24" s="5" t="s">
        <v>45</v>
      </c>
      <c r="C24" s="5" t="s">
        <v>46</v>
      </c>
      <c r="D24" s="12">
        <f t="shared" si="3"/>
        <v>19999.152542372882</v>
      </c>
      <c r="E24" s="13">
        <v>23599</v>
      </c>
      <c r="F24" s="5">
        <v>0</v>
      </c>
      <c r="G24" s="5">
        <v>20.399999999999999</v>
      </c>
      <c r="H24" s="14">
        <f t="shared" si="2"/>
        <v>79.599999999999994</v>
      </c>
      <c r="I24" s="13">
        <f t="shared" si="1"/>
        <v>0</v>
      </c>
    </row>
    <row r="25" spans="1:9" ht="15.75">
      <c r="A25" s="5">
        <v>13</v>
      </c>
      <c r="B25" s="5" t="s">
        <v>139</v>
      </c>
      <c r="C25" s="17" t="s">
        <v>140</v>
      </c>
      <c r="D25" s="12">
        <f>E25/1.18</f>
        <v>22287.288135593222</v>
      </c>
      <c r="E25" s="13">
        <v>26299</v>
      </c>
      <c r="F25" s="5">
        <v>0</v>
      </c>
      <c r="G25" s="5">
        <v>20.399999999999999</v>
      </c>
      <c r="H25" s="14">
        <f>100-G25</f>
        <v>79.599999999999994</v>
      </c>
      <c r="I25" s="13">
        <f t="shared" si="1"/>
        <v>0</v>
      </c>
    </row>
    <row r="26" spans="1:9" ht="15.75">
      <c r="A26" s="5">
        <v>15</v>
      </c>
      <c r="B26" s="5" t="s">
        <v>47</v>
      </c>
      <c r="C26" s="5" t="s">
        <v>48</v>
      </c>
      <c r="D26" s="12">
        <f>E26/1.18</f>
        <v>15634.745762711866</v>
      </c>
      <c r="E26" s="13">
        <v>18449</v>
      </c>
      <c r="F26" s="5">
        <v>0</v>
      </c>
      <c r="G26" s="5">
        <v>20.399999999999999</v>
      </c>
      <c r="H26" s="14">
        <f t="shared" si="2"/>
        <v>79.599999999999994</v>
      </c>
      <c r="I26" s="13">
        <f t="shared" si="1"/>
        <v>0</v>
      </c>
    </row>
    <row r="27" spans="1:9" ht="15.75">
      <c r="A27" s="5">
        <v>30</v>
      </c>
      <c r="B27" s="5" t="s">
        <v>49</v>
      </c>
      <c r="C27" s="5" t="s">
        <v>50</v>
      </c>
      <c r="D27" s="12">
        <f t="shared" si="3"/>
        <v>23388.983050847459</v>
      </c>
      <c r="E27" s="13">
        <v>27599</v>
      </c>
      <c r="F27" s="5">
        <v>0</v>
      </c>
      <c r="G27" s="5">
        <v>20.399999999999999</v>
      </c>
      <c r="H27" s="14">
        <f t="shared" si="2"/>
        <v>79.599999999999994</v>
      </c>
      <c r="I27" s="13">
        <f t="shared" si="1"/>
        <v>0</v>
      </c>
    </row>
    <row r="28" spans="1:9" ht="15.75">
      <c r="A28" s="5">
        <v>45</v>
      </c>
      <c r="B28" s="5" t="s">
        <v>51</v>
      </c>
      <c r="C28" s="5" t="s">
        <v>52</v>
      </c>
      <c r="D28" s="12">
        <f t="shared" si="3"/>
        <v>30380.508474576272</v>
      </c>
      <c r="E28" s="13">
        <v>35849</v>
      </c>
      <c r="F28" s="5">
        <v>0</v>
      </c>
      <c r="G28" s="5">
        <v>20.399999999999999</v>
      </c>
      <c r="H28" s="14">
        <f t="shared" si="2"/>
        <v>79.599999999999994</v>
      </c>
      <c r="I28" s="13">
        <f t="shared" si="1"/>
        <v>0</v>
      </c>
    </row>
    <row r="29" spans="1:9" ht="15.75">
      <c r="A29" s="5">
        <v>70</v>
      </c>
      <c r="B29" s="5" t="s">
        <v>53</v>
      </c>
      <c r="C29" s="5" t="s">
        <v>54</v>
      </c>
      <c r="D29" s="12">
        <f t="shared" si="3"/>
        <v>39236.4406779661</v>
      </c>
      <c r="E29" s="13">
        <v>46299</v>
      </c>
      <c r="F29" s="5">
        <v>0</v>
      </c>
      <c r="G29" s="5">
        <v>20.399999999999999</v>
      </c>
      <c r="H29" s="14">
        <f t="shared" si="2"/>
        <v>79.599999999999994</v>
      </c>
      <c r="I29" s="13">
        <f t="shared" si="1"/>
        <v>0</v>
      </c>
    </row>
    <row r="30" spans="1:9" ht="15.75">
      <c r="A30" s="5">
        <v>30</v>
      </c>
      <c r="B30" s="5" t="s">
        <v>141</v>
      </c>
      <c r="C30" s="5" t="s">
        <v>142</v>
      </c>
      <c r="D30" s="12">
        <f t="shared" si="3"/>
        <v>32711.016949152545</v>
      </c>
      <c r="E30" s="13">
        <v>38599</v>
      </c>
      <c r="F30" s="5">
        <v>0</v>
      </c>
      <c r="G30" s="5">
        <v>20.399999999999999</v>
      </c>
      <c r="H30" s="14">
        <f t="shared" si="2"/>
        <v>79.599999999999994</v>
      </c>
      <c r="I30" s="13">
        <f t="shared" si="1"/>
        <v>0</v>
      </c>
    </row>
    <row r="31" spans="1:9" ht="15.75">
      <c r="A31" s="5">
        <v>48</v>
      </c>
      <c r="B31" s="5" t="s">
        <v>143</v>
      </c>
      <c r="C31" s="5" t="s">
        <v>144</v>
      </c>
      <c r="D31" s="12">
        <f t="shared" si="3"/>
        <v>40677.118644067799</v>
      </c>
      <c r="E31" s="13">
        <v>47999</v>
      </c>
      <c r="F31" s="5">
        <v>0</v>
      </c>
      <c r="G31" s="5">
        <v>20.399999999999999</v>
      </c>
      <c r="H31" s="14">
        <f t="shared" si="2"/>
        <v>79.599999999999994</v>
      </c>
      <c r="I31" s="13">
        <f t="shared" si="1"/>
        <v>0</v>
      </c>
    </row>
    <row r="32" spans="1:9" ht="15.75">
      <c r="A32" s="5">
        <v>160</v>
      </c>
      <c r="B32" s="5" t="s">
        <v>55</v>
      </c>
      <c r="C32" s="7" t="s">
        <v>56</v>
      </c>
      <c r="D32" s="12">
        <f t="shared" si="3"/>
        <v>105126.27118644069</v>
      </c>
      <c r="E32" s="13">
        <v>124049</v>
      </c>
      <c r="F32" s="5">
        <v>0</v>
      </c>
      <c r="G32" s="5">
        <v>20.399999999999999</v>
      </c>
      <c r="H32" s="14">
        <f t="shared" si="2"/>
        <v>79.599999999999994</v>
      </c>
      <c r="I32" s="13">
        <f t="shared" si="1"/>
        <v>0</v>
      </c>
    </row>
    <row r="33" spans="1:9" ht="15.75">
      <c r="A33" s="5">
        <v>210</v>
      </c>
      <c r="B33" s="5" t="s">
        <v>57</v>
      </c>
      <c r="C33" s="7" t="s">
        <v>58</v>
      </c>
      <c r="D33" s="12">
        <f t="shared" si="3"/>
        <v>132329.66101694916</v>
      </c>
      <c r="E33" s="13">
        <v>156149</v>
      </c>
      <c r="F33" s="5">
        <v>0</v>
      </c>
      <c r="G33" s="5">
        <v>20.399999999999999</v>
      </c>
      <c r="H33" s="14">
        <f t="shared" si="2"/>
        <v>79.599999999999994</v>
      </c>
      <c r="I33" s="13">
        <f t="shared" si="1"/>
        <v>0</v>
      </c>
    </row>
    <row r="34" spans="1:9" ht="15.75">
      <c r="A34" s="5">
        <v>370</v>
      </c>
      <c r="B34" s="5" t="s">
        <v>59</v>
      </c>
      <c r="C34" s="7" t="s">
        <v>60</v>
      </c>
      <c r="D34" s="12">
        <f t="shared" si="3"/>
        <v>169448.30508474578</v>
      </c>
      <c r="E34" s="13">
        <v>199949</v>
      </c>
      <c r="F34" s="5">
        <v>0</v>
      </c>
      <c r="G34" s="5">
        <v>20.399999999999999</v>
      </c>
      <c r="H34" s="14">
        <f t="shared" si="2"/>
        <v>79.599999999999994</v>
      </c>
      <c r="I34" s="13">
        <f t="shared" si="1"/>
        <v>0</v>
      </c>
    </row>
    <row r="35" spans="1:9" ht="15.75">
      <c r="A35" s="5">
        <v>560</v>
      </c>
      <c r="B35" s="5" t="s">
        <v>61</v>
      </c>
      <c r="C35" s="7" t="s">
        <v>62</v>
      </c>
      <c r="D35" s="12">
        <f t="shared" si="3"/>
        <v>204956.77966101695</v>
      </c>
      <c r="E35" s="13">
        <v>241849</v>
      </c>
      <c r="F35" s="5">
        <v>0</v>
      </c>
      <c r="G35" s="5">
        <v>20.399999999999999</v>
      </c>
      <c r="H35" s="14">
        <f t="shared" si="2"/>
        <v>79.599999999999994</v>
      </c>
      <c r="I35" s="13">
        <f t="shared" si="1"/>
        <v>0</v>
      </c>
    </row>
    <row r="36" spans="1:9" ht="15.75">
      <c r="A36" s="5"/>
      <c r="B36" s="8" t="s">
        <v>63</v>
      </c>
      <c r="C36" s="5" t="s">
        <v>64</v>
      </c>
      <c r="D36" s="12">
        <f t="shared" si="3"/>
        <v>11016.949152542373</v>
      </c>
      <c r="E36" s="13">
        <v>13000</v>
      </c>
      <c r="F36" s="5">
        <v>0</v>
      </c>
      <c r="G36" s="5">
        <v>20.399999999999999</v>
      </c>
      <c r="H36" s="14">
        <f t="shared" si="2"/>
        <v>79.599999999999994</v>
      </c>
      <c r="I36" s="13">
        <f t="shared" si="1"/>
        <v>0</v>
      </c>
    </row>
    <row r="37" spans="1:9" ht="15.75">
      <c r="A37" s="5"/>
      <c r="B37" s="8" t="s">
        <v>65</v>
      </c>
      <c r="C37" s="5" t="s">
        <v>66</v>
      </c>
      <c r="D37" s="12">
        <f t="shared" si="3"/>
        <v>11439.830508474577</v>
      </c>
      <c r="E37" s="13">
        <v>13499</v>
      </c>
      <c r="F37" s="5">
        <v>0</v>
      </c>
      <c r="G37" s="5">
        <v>20.399999999999999</v>
      </c>
      <c r="H37" s="14">
        <f t="shared" si="2"/>
        <v>79.599999999999994</v>
      </c>
      <c r="I37" s="13">
        <f t="shared" si="1"/>
        <v>0</v>
      </c>
    </row>
    <row r="38" spans="1:9" ht="15.75">
      <c r="A38" s="5"/>
      <c r="B38" s="8" t="s">
        <v>67</v>
      </c>
      <c r="C38" s="8" t="s">
        <v>68</v>
      </c>
      <c r="D38" s="12">
        <f t="shared" si="3"/>
        <v>10422.881355932204</v>
      </c>
      <c r="E38" s="13">
        <v>12299</v>
      </c>
      <c r="F38" s="5">
        <v>0</v>
      </c>
      <c r="G38" s="5">
        <v>20.399999999999999</v>
      </c>
      <c r="H38" s="14">
        <f t="shared" si="2"/>
        <v>79.599999999999994</v>
      </c>
      <c r="I38" s="13">
        <f t="shared" si="1"/>
        <v>0</v>
      </c>
    </row>
    <row r="39" spans="1:9" ht="15.75">
      <c r="A39" s="5"/>
      <c r="B39" s="17" t="s">
        <v>69</v>
      </c>
      <c r="C39" s="8" t="s">
        <v>70</v>
      </c>
      <c r="D39" s="12">
        <f t="shared" si="3"/>
        <v>12626.271186440679</v>
      </c>
      <c r="E39" s="13">
        <v>14899</v>
      </c>
      <c r="F39" s="5">
        <v>0</v>
      </c>
      <c r="G39" s="5">
        <v>20.399999999999999</v>
      </c>
      <c r="H39" s="14">
        <f t="shared" si="2"/>
        <v>79.599999999999994</v>
      </c>
      <c r="I39" s="13">
        <f t="shared" si="1"/>
        <v>0</v>
      </c>
    </row>
    <row r="40" spans="1:9" ht="15.75">
      <c r="A40" s="5"/>
      <c r="B40" s="8" t="s">
        <v>145</v>
      </c>
      <c r="C40" s="8" t="s">
        <v>146</v>
      </c>
      <c r="D40" s="12">
        <f t="shared" si="3"/>
        <v>12626.271186440679</v>
      </c>
      <c r="E40" s="13">
        <v>14899</v>
      </c>
      <c r="F40" s="5">
        <v>0</v>
      </c>
      <c r="G40" s="5">
        <v>20.399999999999999</v>
      </c>
      <c r="H40" s="14">
        <f t="shared" si="2"/>
        <v>79.599999999999994</v>
      </c>
      <c r="I40" s="13">
        <f t="shared" si="1"/>
        <v>0</v>
      </c>
    </row>
    <row r="41" spans="1:9" ht="15.75">
      <c r="A41" s="5"/>
      <c r="B41" s="5" t="s">
        <v>147</v>
      </c>
      <c r="C41" s="5" t="s">
        <v>148</v>
      </c>
      <c r="D41" s="12">
        <f>E41/1.18</f>
        <v>19067</v>
      </c>
      <c r="E41" s="13">
        <v>22499.059999999998</v>
      </c>
      <c r="F41" s="5">
        <v>0</v>
      </c>
      <c r="G41" s="5">
        <v>20.399999999999999</v>
      </c>
      <c r="H41" s="14">
        <f>100-G41</f>
        <v>79.599999999999994</v>
      </c>
      <c r="I41" s="13">
        <f t="shared" si="1"/>
        <v>0</v>
      </c>
    </row>
    <row r="42" spans="1:9" ht="15.75">
      <c r="A42" s="5"/>
      <c r="B42" s="5" t="s">
        <v>71</v>
      </c>
      <c r="C42" s="5" t="s">
        <v>72</v>
      </c>
      <c r="D42" s="12">
        <f t="shared" si="3"/>
        <v>20083.898305084746</v>
      </c>
      <c r="E42" s="13">
        <v>23699</v>
      </c>
      <c r="F42" s="5">
        <v>0</v>
      </c>
      <c r="G42" s="5">
        <v>20.399999999999999</v>
      </c>
      <c r="H42" s="14">
        <f t="shared" si="2"/>
        <v>79.599999999999994</v>
      </c>
      <c r="I42" s="13">
        <f t="shared" si="1"/>
        <v>0</v>
      </c>
    </row>
    <row r="43" spans="1:9" ht="15.75">
      <c r="A43" s="5"/>
      <c r="B43" s="9" t="s">
        <v>73</v>
      </c>
      <c r="C43" s="9" t="s">
        <v>74</v>
      </c>
      <c r="D43" s="12">
        <f t="shared" si="3"/>
        <v>30507.627118644068</v>
      </c>
      <c r="E43" s="13">
        <v>35999</v>
      </c>
      <c r="F43" s="5">
        <v>0</v>
      </c>
      <c r="G43" s="5">
        <v>20.399999999999999</v>
      </c>
      <c r="H43" s="14">
        <f t="shared" si="2"/>
        <v>79.599999999999994</v>
      </c>
      <c r="I43" s="13">
        <f t="shared" si="1"/>
        <v>0</v>
      </c>
    </row>
    <row r="44" spans="1:9" ht="15.75">
      <c r="A44" s="5"/>
      <c r="B44" s="9" t="s">
        <v>75</v>
      </c>
      <c r="C44" s="9" t="s">
        <v>76</v>
      </c>
      <c r="D44" s="12">
        <f t="shared" si="3"/>
        <v>34151.694915254237</v>
      </c>
      <c r="E44" s="13">
        <v>40299</v>
      </c>
      <c r="F44" s="5">
        <v>0</v>
      </c>
      <c r="G44" s="5">
        <v>20.399999999999999</v>
      </c>
      <c r="H44" s="14">
        <f t="shared" si="2"/>
        <v>79.599999999999994</v>
      </c>
      <c r="I44" s="13">
        <f t="shared" si="1"/>
        <v>0</v>
      </c>
    </row>
    <row r="45" spans="1:9" ht="15.75">
      <c r="A45" s="5"/>
      <c r="B45" s="8" t="s">
        <v>149</v>
      </c>
      <c r="C45" s="5" t="s">
        <v>150</v>
      </c>
      <c r="D45" s="12">
        <f t="shared" si="3"/>
        <v>34151.694915254237</v>
      </c>
      <c r="E45" s="13">
        <v>40299</v>
      </c>
      <c r="F45" s="5">
        <v>0</v>
      </c>
      <c r="G45" s="5">
        <v>20.399999999999999</v>
      </c>
      <c r="H45" s="14">
        <f t="shared" si="2"/>
        <v>79.599999999999994</v>
      </c>
      <c r="I45" s="13">
        <f t="shared" si="1"/>
        <v>0</v>
      </c>
    </row>
    <row r="46" spans="1:9" ht="15.75">
      <c r="A46" s="5"/>
      <c r="B46" s="8" t="s">
        <v>77</v>
      </c>
      <c r="C46" s="9" t="s">
        <v>78</v>
      </c>
      <c r="D46" s="12">
        <f t="shared" si="3"/>
        <v>25083.898305084746</v>
      </c>
      <c r="E46" s="13">
        <v>29599</v>
      </c>
      <c r="F46" s="5">
        <v>0</v>
      </c>
      <c r="G46" s="5">
        <v>20.399999999999999</v>
      </c>
      <c r="H46" s="14">
        <f t="shared" si="2"/>
        <v>79.599999999999994</v>
      </c>
      <c r="I46" s="13">
        <f t="shared" si="1"/>
        <v>0</v>
      </c>
    </row>
    <row r="47" spans="1:9" ht="15.75">
      <c r="A47" s="5"/>
      <c r="B47" s="8" t="s">
        <v>79</v>
      </c>
      <c r="C47" s="9" t="s">
        <v>80</v>
      </c>
      <c r="D47" s="12">
        <f t="shared" si="3"/>
        <v>30931.355932203391</v>
      </c>
      <c r="E47" s="13">
        <v>36499</v>
      </c>
      <c r="F47" s="5">
        <v>0</v>
      </c>
      <c r="G47" s="5">
        <v>20.399999999999999</v>
      </c>
      <c r="H47" s="14">
        <f t="shared" si="2"/>
        <v>79.599999999999994</v>
      </c>
      <c r="I47" s="13">
        <f t="shared" si="1"/>
        <v>0</v>
      </c>
    </row>
    <row r="48" spans="1:9" ht="15.75">
      <c r="A48" s="5"/>
      <c r="B48" s="8" t="s">
        <v>81</v>
      </c>
      <c r="C48" s="5" t="s">
        <v>82</v>
      </c>
      <c r="D48" s="12">
        <f t="shared" si="3"/>
        <v>37541.525423728817</v>
      </c>
      <c r="E48" s="13">
        <v>44299</v>
      </c>
      <c r="F48" s="5">
        <v>0</v>
      </c>
      <c r="G48" s="5">
        <v>20.399999999999999</v>
      </c>
      <c r="H48" s="14">
        <f t="shared" si="2"/>
        <v>79.599999999999994</v>
      </c>
      <c r="I48" s="13">
        <f t="shared" si="1"/>
        <v>0</v>
      </c>
    </row>
    <row r="49" spans="1:9" ht="15.75">
      <c r="A49" s="5"/>
      <c r="B49" s="8" t="s">
        <v>83</v>
      </c>
      <c r="C49" s="5" t="s">
        <v>84</v>
      </c>
      <c r="D49" s="12">
        <f t="shared" si="3"/>
        <v>46100.847457627118</v>
      </c>
      <c r="E49" s="13">
        <v>54399</v>
      </c>
      <c r="F49" s="5">
        <v>0</v>
      </c>
      <c r="G49" s="5">
        <v>20.399999999999999</v>
      </c>
      <c r="H49" s="14">
        <f t="shared" si="2"/>
        <v>79.599999999999994</v>
      </c>
      <c r="I49" s="13">
        <f t="shared" si="1"/>
        <v>0</v>
      </c>
    </row>
    <row r="50" spans="1:9" ht="15.75">
      <c r="A50" s="5"/>
      <c r="B50" s="8" t="s">
        <v>85</v>
      </c>
      <c r="C50" s="5" t="s">
        <v>86</v>
      </c>
      <c r="D50" s="12">
        <f t="shared" si="3"/>
        <v>53304.237288135599</v>
      </c>
      <c r="E50" s="13">
        <v>62899</v>
      </c>
      <c r="F50" s="5">
        <v>0</v>
      </c>
      <c r="G50" s="5">
        <v>20.399999999999999</v>
      </c>
      <c r="H50" s="14">
        <f t="shared" si="2"/>
        <v>79.599999999999994</v>
      </c>
      <c r="I50" s="13">
        <f t="shared" si="1"/>
        <v>0</v>
      </c>
    </row>
    <row r="51" spans="1:9" ht="15.75">
      <c r="A51" s="5"/>
      <c r="B51" s="8" t="s">
        <v>87</v>
      </c>
      <c r="C51" s="5" t="s">
        <v>88</v>
      </c>
      <c r="D51" s="12">
        <f t="shared" si="3"/>
        <v>53304.237288135599</v>
      </c>
      <c r="E51" s="13">
        <v>62899</v>
      </c>
      <c r="F51" s="5">
        <v>0</v>
      </c>
      <c r="G51" s="5">
        <v>20.399999999999999</v>
      </c>
      <c r="H51" s="14">
        <f t="shared" si="2"/>
        <v>79.599999999999994</v>
      </c>
      <c r="I51" s="13">
        <f t="shared" si="1"/>
        <v>0</v>
      </c>
    </row>
    <row r="52" spans="1:9" ht="15.75">
      <c r="A52" s="5"/>
      <c r="B52" s="5" t="s">
        <v>89</v>
      </c>
      <c r="C52" s="5" t="s">
        <v>90</v>
      </c>
      <c r="D52" s="12">
        <f t="shared" si="3"/>
        <v>32880.508474576272</v>
      </c>
      <c r="E52" s="13">
        <v>38799</v>
      </c>
      <c r="F52" s="5">
        <v>0</v>
      </c>
      <c r="G52" s="5">
        <v>20.399999999999999</v>
      </c>
      <c r="H52" s="14">
        <f t="shared" si="2"/>
        <v>79.599999999999994</v>
      </c>
      <c r="I52" s="13">
        <f t="shared" si="1"/>
        <v>0</v>
      </c>
    </row>
    <row r="53" spans="1:9" ht="15.75">
      <c r="A53" s="5"/>
      <c r="B53" s="10" t="s">
        <v>91</v>
      </c>
      <c r="C53" s="10" t="s">
        <v>92</v>
      </c>
      <c r="D53" s="12">
        <f t="shared" si="3"/>
        <v>25677.118644067799</v>
      </c>
      <c r="E53" s="13">
        <v>30299</v>
      </c>
      <c r="F53" s="5">
        <v>0</v>
      </c>
      <c r="G53" s="5">
        <v>20.399999999999999</v>
      </c>
      <c r="H53" s="14">
        <f t="shared" si="2"/>
        <v>79.599999999999994</v>
      </c>
      <c r="I53" s="13">
        <f t="shared" si="1"/>
        <v>0</v>
      </c>
    </row>
    <row r="54" spans="1:9" ht="15.75">
      <c r="A54" s="5"/>
      <c r="B54" s="10" t="s">
        <v>93</v>
      </c>
      <c r="C54" s="10" t="s">
        <v>94</v>
      </c>
      <c r="D54" s="12">
        <f t="shared" si="3"/>
        <v>36609.322033898308</v>
      </c>
      <c r="E54" s="13">
        <v>43199</v>
      </c>
      <c r="F54" s="5">
        <v>0</v>
      </c>
      <c r="G54" s="5">
        <v>20.399999999999999</v>
      </c>
      <c r="H54" s="14">
        <f t="shared" si="2"/>
        <v>79.599999999999994</v>
      </c>
      <c r="I54" s="13">
        <f t="shared" si="1"/>
        <v>0</v>
      </c>
    </row>
    <row r="55" spans="1:9" ht="15.75">
      <c r="A55" s="5"/>
      <c r="B55" s="10" t="s">
        <v>95</v>
      </c>
      <c r="C55" s="10" t="s">
        <v>96</v>
      </c>
      <c r="D55" s="12">
        <f t="shared" si="3"/>
        <v>39405.932203389835</v>
      </c>
      <c r="E55" s="13">
        <v>46499</v>
      </c>
      <c r="F55" s="5">
        <v>0</v>
      </c>
      <c r="G55" s="5">
        <v>20.399999999999999</v>
      </c>
      <c r="H55" s="14">
        <f t="shared" si="2"/>
        <v>79.599999999999994</v>
      </c>
      <c r="I55" s="13">
        <f t="shared" si="1"/>
        <v>0</v>
      </c>
    </row>
    <row r="56" spans="1:9" ht="15.75">
      <c r="A56" s="5"/>
      <c r="B56" s="10" t="s">
        <v>151</v>
      </c>
      <c r="C56" s="10" t="s">
        <v>152</v>
      </c>
      <c r="D56" s="12">
        <f>E56/1.18</f>
        <v>39405.932203389835</v>
      </c>
      <c r="E56" s="13">
        <v>46499</v>
      </c>
      <c r="F56" s="5">
        <v>0</v>
      </c>
      <c r="G56" s="5">
        <v>20.399999999999999</v>
      </c>
      <c r="H56" s="14">
        <f>100-G56</f>
        <v>79.599999999999994</v>
      </c>
      <c r="I56" s="13">
        <f t="shared" si="1"/>
        <v>0</v>
      </c>
    </row>
    <row r="57" spans="1:9" ht="15.75">
      <c r="A57" s="5"/>
      <c r="B57" s="10" t="s">
        <v>97</v>
      </c>
      <c r="C57" s="10" t="s">
        <v>98</v>
      </c>
      <c r="D57" s="12">
        <f t="shared" si="3"/>
        <v>54829.661016949154</v>
      </c>
      <c r="E57" s="13">
        <v>64699</v>
      </c>
      <c r="F57" s="5">
        <v>0</v>
      </c>
      <c r="G57" s="5">
        <v>20.399999999999999</v>
      </c>
      <c r="H57" s="14">
        <f t="shared" si="2"/>
        <v>79.599999999999994</v>
      </c>
      <c r="I57" s="13">
        <f t="shared" si="1"/>
        <v>0</v>
      </c>
    </row>
    <row r="58" spans="1:9" ht="15.75">
      <c r="A58" s="5"/>
      <c r="B58" s="10" t="s">
        <v>99</v>
      </c>
      <c r="C58" s="10" t="s">
        <v>100</v>
      </c>
      <c r="D58" s="12">
        <f t="shared" si="3"/>
        <v>75083.898305084746</v>
      </c>
      <c r="E58" s="13">
        <v>88599</v>
      </c>
      <c r="F58" s="5">
        <v>0</v>
      </c>
      <c r="G58" s="5">
        <v>20.399999999999999</v>
      </c>
      <c r="H58" s="14">
        <f t="shared" si="2"/>
        <v>79.599999999999994</v>
      </c>
      <c r="I58" s="13">
        <f t="shared" si="1"/>
        <v>0</v>
      </c>
    </row>
    <row r="59" spans="1:9" ht="15.75">
      <c r="A59" s="5"/>
      <c r="B59" s="10" t="s">
        <v>101</v>
      </c>
      <c r="C59" s="10" t="s">
        <v>102</v>
      </c>
      <c r="D59" s="12">
        <f t="shared" si="3"/>
        <v>65253.38983050848</v>
      </c>
      <c r="E59" s="13">
        <v>76999</v>
      </c>
      <c r="F59" s="5">
        <v>0</v>
      </c>
      <c r="G59" s="5">
        <v>20.399999999999999</v>
      </c>
      <c r="H59" s="14">
        <f t="shared" si="2"/>
        <v>79.599999999999994</v>
      </c>
      <c r="I59" s="13">
        <f t="shared" si="1"/>
        <v>0</v>
      </c>
    </row>
    <row r="60" spans="1:9" ht="15.75">
      <c r="A60" s="5"/>
      <c r="B60" s="10" t="s">
        <v>103</v>
      </c>
      <c r="C60" s="10" t="s">
        <v>104</v>
      </c>
      <c r="D60" s="12">
        <f t="shared" si="3"/>
        <v>87626.271186440688</v>
      </c>
      <c r="E60" s="13">
        <v>103399</v>
      </c>
      <c r="F60" s="5">
        <v>0</v>
      </c>
      <c r="G60" s="5">
        <v>20.399999999999999</v>
      </c>
      <c r="H60" s="14">
        <f t="shared" si="2"/>
        <v>79.599999999999994</v>
      </c>
      <c r="I60" s="13">
        <f t="shared" si="1"/>
        <v>0</v>
      </c>
    </row>
    <row r="61" spans="1:9" ht="15.75">
      <c r="A61" s="5"/>
      <c r="B61" s="6" t="s">
        <v>117</v>
      </c>
      <c r="C61" s="7" t="s">
        <v>118</v>
      </c>
      <c r="D61" s="12">
        <f>E61/1.18</f>
        <v>59321.186440677971</v>
      </c>
      <c r="E61" s="13">
        <v>69999</v>
      </c>
      <c r="F61" s="5">
        <v>0</v>
      </c>
      <c r="G61" s="5">
        <v>20.399999999999999</v>
      </c>
      <c r="H61" s="14">
        <f>100-G61</f>
        <v>79.599999999999994</v>
      </c>
      <c r="I61" s="13">
        <f t="shared" si="1"/>
        <v>0</v>
      </c>
    </row>
    <row r="62" spans="1:9" ht="15.75">
      <c r="A62" s="5"/>
      <c r="B62" s="10" t="s">
        <v>105</v>
      </c>
      <c r="C62" s="10" t="s">
        <v>106</v>
      </c>
      <c r="D62" s="12">
        <f t="shared" si="3"/>
        <v>72117.796610169491</v>
      </c>
      <c r="E62" s="13">
        <v>85099</v>
      </c>
      <c r="F62" s="5">
        <v>0</v>
      </c>
      <c r="G62" s="5">
        <v>20.399999999999999</v>
      </c>
      <c r="H62" s="14">
        <f t="shared" si="2"/>
        <v>79.599999999999994</v>
      </c>
      <c r="I62" s="13">
        <f t="shared" si="1"/>
        <v>0</v>
      </c>
    </row>
    <row r="63" spans="1:9" ht="15.75">
      <c r="A63" s="5"/>
      <c r="B63" s="10" t="s">
        <v>107</v>
      </c>
      <c r="C63" s="10" t="s">
        <v>108</v>
      </c>
      <c r="D63" s="12">
        <f t="shared" si="3"/>
        <v>72117.796610169491</v>
      </c>
      <c r="E63" s="13">
        <v>85099</v>
      </c>
      <c r="F63" s="5">
        <v>0</v>
      </c>
      <c r="G63" s="5">
        <v>20.399999999999999</v>
      </c>
      <c r="H63" s="14">
        <f t="shared" si="2"/>
        <v>79.599999999999994</v>
      </c>
      <c r="I63" s="13">
        <f t="shared" si="1"/>
        <v>0</v>
      </c>
    </row>
    <row r="64" spans="1:9" ht="15.75">
      <c r="A64" s="5"/>
      <c r="B64" s="7" t="s">
        <v>109</v>
      </c>
      <c r="C64" s="7" t="s">
        <v>110</v>
      </c>
      <c r="D64" s="12">
        <f>E64/1.18</f>
        <v>76439.830508474581</v>
      </c>
      <c r="E64" s="13">
        <v>90199</v>
      </c>
      <c r="F64" s="5">
        <v>0</v>
      </c>
      <c r="G64" s="5">
        <v>20.399999999999999</v>
      </c>
      <c r="H64" s="14">
        <f t="shared" si="2"/>
        <v>79.599999999999994</v>
      </c>
      <c r="I64" s="13">
        <f t="shared" si="1"/>
        <v>0</v>
      </c>
    </row>
    <row r="65" spans="1:9" ht="15.75">
      <c r="A65" s="5"/>
      <c r="B65" s="7" t="s">
        <v>111</v>
      </c>
      <c r="C65" s="7" t="s">
        <v>112</v>
      </c>
      <c r="D65" s="12">
        <f>E65/1.18</f>
        <v>101270.33898305085</v>
      </c>
      <c r="E65" s="13">
        <v>119499</v>
      </c>
      <c r="F65" s="5">
        <v>0</v>
      </c>
      <c r="G65" s="5">
        <v>20.399999999999999</v>
      </c>
      <c r="H65" s="14">
        <f t="shared" si="2"/>
        <v>79.599999999999994</v>
      </c>
      <c r="I65" s="13">
        <f t="shared" si="1"/>
        <v>0</v>
      </c>
    </row>
    <row r="66" spans="1:9" ht="15.75">
      <c r="A66" s="5"/>
      <c r="B66" s="7" t="s">
        <v>153</v>
      </c>
      <c r="C66" s="7" t="s">
        <v>154</v>
      </c>
      <c r="D66" s="12">
        <f>E66/1.18</f>
        <v>101270.33898305085</v>
      </c>
      <c r="E66" s="13">
        <v>119499</v>
      </c>
      <c r="F66" s="5">
        <v>0</v>
      </c>
      <c r="G66" s="5">
        <v>20.399999999999999</v>
      </c>
      <c r="H66" s="14">
        <f t="shared" si="2"/>
        <v>79.599999999999994</v>
      </c>
      <c r="I66" s="13">
        <f t="shared" si="1"/>
        <v>0</v>
      </c>
    </row>
    <row r="67" spans="1:9" ht="15.75">
      <c r="A67" s="5"/>
      <c r="B67" s="7" t="s">
        <v>113</v>
      </c>
      <c r="C67" s="7" t="s">
        <v>114</v>
      </c>
      <c r="D67" s="12">
        <f t="shared" ref="D67:D84" si="4">E67/1.18</f>
        <v>119405.93220338984</v>
      </c>
      <c r="E67" s="13">
        <v>140899</v>
      </c>
      <c r="F67" s="5">
        <v>0</v>
      </c>
      <c r="G67" s="5">
        <v>20.399999999999999</v>
      </c>
      <c r="H67" s="14">
        <f t="shared" si="2"/>
        <v>79.599999999999994</v>
      </c>
      <c r="I67" s="13">
        <f t="shared" si="1"/>
        <v>0</v>
      </c>
    </row>
    <row r="68" spans="1:9" ht="15.75">
      <c r="A68" s="5"/>
      <c r="B68" s="7" t="s">
        <v>155</v>
      </c>
      <c r="C68" s="7" t="s">
        <v>156</v>
      </c>
      <c r="D68" s="12">
        <f t="shared" si="4"/>
        <v>119405.93220338984</v>
      </c>
      <c r="E68" s="13">
        <v>140899</v>
      </c>
      <c r="F68" s="5">
        <v>0</v>
      </c>
      <c r="G68" s="5">
        <v>20.399999999999999</v>
      </c>
      <c r="H68" s="14">
        <f t="shared" si="2"/>
        <v>79.599999999999994</v>
      </c>
      <c r="I68" s="13">
        <f t="shared" ref="I68:I84" si="5">D68*H68/100*F68</f>
        <v>0</v>
      </c>
    </row>
    <row r="69" spans="1:9" ht="15.75">
      <c r="A69" s="5"/>
      <c r="B69" s="7" t="s">
        <v>115</v>
      </c>
      <c r="C69" s="7" t="s">
        <v>116</v>
      </c>
      <c r="D69" s="12">
        <f t="shared" si="4"/>
        <v>89999.152542372889</v>
      </c>
      <c r="E69" s="13">
        <v>106199</v>
      </c>
      <c r="F69" s="5">
        <v>0</v>
      </c>
      <c r="G69" s="5">
        <v>20.399999999999999</v>
      </c>
      <c r="H69" s="14">
        <f t="shared" si="2"/>
        <v>79.599999999999994</v>
      </c>
      <c r="I69" s="13">
        <f t="shared" si="5"/>
        <v>0</v>
      </c>
    </row>
    <row r="70" spans="1:9" ht="15.75">
      <c r="A70" s="5"/>
      <c r="B70" s="7" t="s">
        <v>119</v>
      </c>
      <c r="C70" s="7" t="s">
        <v>120</v>
      </c>
      <c r="D70" s="12">
        <f t="shared" si="4"/>
        <v>6778.8135593220341</v>
      </c>
      <c r="E70" s="13">
        <v>7999</v>
      </c>
      <c r="F70" s="5">
        <v>0</v>
      </c>
      <c r="G70" s="5">
        <v>20.399999999999999</v>
      </c>
      <c r="H70" s="14">
        <f t="shared" ref="H70:H84" si="6">100-G70</f>
        <v>79.599999999999994</v>
      </c>
      <c r="I70" s="13">
        <f t="shared" si="5"/>
        <v>0</v>
      </c>
    </row>
    <row r="71" spans="1:9" ht="15.75">
      <c r="A71" s="5"/>
      <c r="B71" s="11" t="s">
        <v>157</v>
      </c>
      <c r="C71" s="11" t="s">
        <v>158</v>
      </c>
      <c r="D71" s="12">
        <f t="shared" si="4"/>
        <v>6778.8135593220341</v>
      </c>
      <c r="E71" s="13">
        <v>7999</v>
      </c>
      <c r="F71" s="5">
        <v>0</v>
      </c>
      <c r="G71" s="5">
        <v>20.399999999999999</v>
      </c>
      <c r="H71" s="14">
        <f t="shared" si="6"/>
        <v>79.599999999999994</v>
      </c>
      <c r="I71" s="13">
        <f t="shared" si="5"/>
        <v>0</v>
      </c>
    </row>
    <row r="72" spans="1:9" ht="15.75">
      <c r="A72" s="5"/>
      <c r="B72" s="7" t="s">
        <v>121</v>
      </c>
      <c r="C72" s="7" t="s">
        <v>122</v>
      </c>
      <c r="D72" s="12">
        <f t="shared" si="4"/>
        <v>8473.7288135593226</v>
      </c>
      <c r="E72" s="13">
        <v>9999</v>
      </c>
      <c r="F72" s="5">
        <v>0</v>
      </c>
      <c r="G72" s="5">
        <v>20.399999999999999</v>
      </c>
      <c r="H72" s="14">
        <f t="shared" si="6"/>
        <v>79.599999999999994</v>
      </c>
      <c r="I72" s="13">
        <f t="shared" si="5"/>
        <v>0</v>
      </c>
    </row>
    <row r="73" spans="1:9" ht="15.75">
      <c r="A73" s="5"/>
      <c r="B73" s="11" t="s">
        <v>159</v>
      </c>
      <c r="C73" s="11" t="s">
        <v>160</v>
      </c>
      <c r="D73" s="12">
        <f t="shared" si="4"/>
        <v>8473.7288135593226</v>
      </c>
      <c r="E73" s="13">
        <v>9999</v>
      </c>
      <c r="F73" s="5">
        <v>0</v>
      </c>
      <c r="G73" s="5">
        <v>20.399999999999999</v>
      </c>
      <c r="H73" s="14">
        <f t="shared" si="6"/>
        <v>79.599999999999994</v>
      </c>
      <c r="I73" s="13">
        <f t="shared" si="5"/>
        <v>0</v>
      </c>
    </row>
    <row r="74" spans="1:9" ht="15.75">
      <c r="A74" s="5"/>
      <c r="B74" s="7" t="s">
        <v>123</v>
      </c>
      <c r="C74" s="7" t="s">
        <v>124</v>
      </c>
      <c r="D74" s="12">
        <f t="shared" si="4"/>
        <v>13304.237288135593</v>
      </c>
      <c r="E74" s="13">
        <v>15699</v>
      </c>
      <c r="F74" s="5">
        <v>0</v>
      </c>
      <c r="G74" s="5">
        <v>20.399999999999999</v>
      </c>
      <c r="H74" s="14">
        <f t="shared" si="6"/>
        <v>79.599999999999994</v>
      </c>
      <c r="I74" s="13">
        <f t="shared" si="5"/>
        <v>0</v>
      </c>
    </row>
    <row r="75" spans="1:9" ht="15.75">
      <c r="A75" s="5"/>
      <c r="B75" s="7" t="s">
        <v>161</v>
      </c>
      <c r="C75" s="7" t="s">
        <v>162</v>
      </c>
      <c r="D75" s="12">
        <f t="shared" si="4"/>
        <v>7626.2711864406783</v>
      </c>
      <c r="E75" s="13">
        <v>8999</v>
      </c>
      <c r="F75" s="5">
        <v>0</v>
      </c>
      <c r="G75" s="5">
        <v>20.399999999999999</v>
      </c>
      <c r="H75" s="14">
        <f t="shared" si="6"/>
        <v>79.599999999999994</v>
      </c>
      <c r="I75" s="13">
        <f t="shared" si="5"/>
        <v>0</v>
      </c>
    </row>
    <row r="76" spans="1:9" ht="15.75">
      <c r="A76" s="5"/>
      <c r="B76" s="7" t="s">
        <v>125</v>
      </c>
      <c r="C76" s="16" t="s">
        <v>126</v>
      </c>
      <c r="D76" s="12">
        <f t="shared" si="4"/>
        <v>16270.338983050848</v>
      </c>
      <c r="E76" s="13">
        <v>19199</v>
      </c>
      <c r="F76" s="5">
        <v>0</v>
      </c>
      <c r="G76" s="5">
        <v>20.399999999999999</v>
      </c>
      <c r="H76" s="14">
        <f t="shared" si="6"/>
        <v>79.599999999999994</v>
      </c>
      <c r="I76" s="13">
        <f t="shared" si="5"/>
        <v>0</v>
      </c>
    </row>
    <row r="77" spans="1:9" ht="15.75">
      <c r="A77" s="5"/>
      <c r="B77" s="18" t="s">
        <v>163</v>
      </c>
      <c r="C77" s="19" t="s">
        <v>164</v>
      </c>
      <c r="D77" s="12">
        <f t="shared" si="4"/>
        <v>12711.864406779661</v>
      </c>
      <c r="E77" s="13">
        <v>15000</v>
      </c>
      <c r="F77" s="5">
        <v>0</v>
      </c>
      <c r="G77" s="5">
        <v>20.399999999999999</v>
      </c>
      <c r="H77" s="14">
        <f t="shared" si="6"/>
        <v>79.599999999999994</v>
      </c>
      <c r="I77" s="13">
        <f t="shared" si="5"/>
        <v>0</v>
      </c>
    </row>
    <row r="78" spans="1:9" ht="15.75">
      <c r="A78" s="4"/>
      <c r="B78" s="20" t="s">
        <v>127</v>
      </c>
      <c r="C78" s="20" t="s">
        <v>128</v>
      </c>
      <c r="D78" s="21">
        <f t="shared" si="4"/>
        <v>11694.06779661017</v>
      </c>
      <c r="E78" s="22">
        <v>13799</v>
      </c>
      <c r="F78" s="5">
        <v>0</v>
      </c>
      <c r="G78" s="5">
        <v>20.399999999999999</v>
      </c>
      <c r="H78" s="14">
        <f t="shared" si="6"/>
        <v>79.599999999999994</v>
      </c>
      <c r="I78" s="22">
        <f t="shared" si="5"/>
        <v>0</v>
      </c>
    </row>
    <row r="79" spans="1:9" ht="15.75">
      <c r="A79" s="23" t="s">
        <v>165</v>
      </c>
      <c r="B79" s="7" t="s">
        <v>166</v>
      </c>
      <c r="C79" s="7" t="s">
        <v>167</v>
      </c>
      <c r="D79" s="12">
        <f t="shared" si="4"/>
        <v>507.62711864406782</v>
      </c>
      <c r="E79" s="13">
        <v>599</v>
      </c>
      <c r="F79" s="5">
        <v>0</v>
      </c>
      <c r="G79" s="5">
        <v>20.399999999999999</v>
      </c>
      <c r="H79" s="14">
        <f t="shared" si="6"/>
        <v>79.599999999999994</v>
      </c>
      <c r="I79" s="13">
        <f t="shared" si="5"/>
        <v>0</v>
      </c>
    </row>
    <row r="80" spans="1:9" ht="15.75">
      <c r="A80" s="23" t="s">
        <v>165</v>
      </c>
      <c r="B80" s="7" t="s">
        <v>168</v>
      </c>
      <c r="C80" s="7" t="s">
        <v>169</v>
      </c>
      <c r="D80" s="12">
        <f t="shared" si="4"/>
        <v>507.62711864406782</v>
      </c>
      <c r="E80" s="13">
        <v>599</v>
      </c>
      <c r="F80" s="5">
        <v>0</v>
      </c>
      <c r="G80" s="5">
        <v>20.399999999999999</v>
      </c>
      <c r="H80" s="14">
        <f t="shared" si="6"/>
        <v>79.599999999999994</v>
      </c>
      <c r="I80" s="13">
        <f t="shared" si="5"/>
        <v>0</v>
      </c>
    </row>
    <row r="81" spans="1:9" ht="15.75">
      <c r="A81" s="23" t="s">
        <v>165</v>
      </c>
      <c r="B81" s="7" t="s">
        <v>170</v>
      </c>
      <c r="C81" s="7" t="s">
        <v>171</v>
      </c>
      <c r="D81" s="12">
        <f t="shared" si="4"/>
        <v>507.62711864406782</v>
      </c>
      <c r="E81" s="13">
        <v>599</v>
      </c>
      <c r="F81" s="5">
        <v>0</v>
      </c>
      <c r="G81" s="5">
        <v>20.399999999999999</v>
      </c>
      <c r="H81" s="14">
        <f t="shared" si="6"/>
        <v>79.599999999999994</v>
      </c>
      <c r="I81" s="13">
        <f t="shared" si="5"/>
        <v>0</v>
      </c>
    </row>
    <row r="82" spans="1:9" ht="15.75">
      <c r="A82" s="23" t="s">
        <v>165</v>
      </c>
      <c r="B82" s="7" t="s">
        <v>172</v>
      </c>
      <c r="C82" s="7" t="s">
        <v>173</v>
      </c>
      <c r="D82" s="12">
        <f t="shared" si="4"/>
        <v>507.62711864406782</v>
      </c>
      <c r="E82" s="13">
        <v>599</v>
      </c>
      <c r="F82" s="5">
        <v>0</v>
      </c>
      <c r="G82" s="5">
        <v>20.399999999999999</v>
      </c>
      <c r="H82" s="14">
        <f t="shared" si="6"/>
        <v>79.599999999999994</v>
      </c>
      <c r="I82" s="13">
        <f t="shared" si="5"/>
        <v>0</v>
      </c>
    </row>
    <row r="83" spans="1:9" ht="15.75">
      <c r="A83" s="23" t="s">
        <v>165</v>
      </c>
      <c r="B83" s="7" t="s">
        <v>174</v>
      </c>
      <c r="C83" s="7" t="s">
        <v>173</v>
      </c>
      <c r="D83" s="12">
        <f t="shared" si="4"/>
        <v>507.62711864406782</v>
      </c>
      <c r="E83" s="13">
        <v>599</v>
      </c>
      <c r="F83" s="5">
        <v>0</v>
      </c>
      <c r="G83" s="5">
        <v>20.399999999999999</v>
      </c>
      <c r="H83" s="14">
        <f t="shared" si="6"/>
        <v>79.599999999999994</v>
      </c>
      <c r="I83" s="13">
        <f t="shared" si="5"/>
        <v>0</v>
      </c>
    </row>
    <row r="84" spans="1:9" ht="15.75">
      <c r="A84" s="23" t="s">
        <v>165</v>
      </c>
      <c r="B84" s="7" t="s">
        <v>175</v>
      </c>
      <c r="C84" s="7" t="s">
        <v>176</v>
      </c>
      <c r="D84" s="12">
        <f t="shared" si="4"/>
        <v>507.62711864406782</v>
      </c>
      <c r="E84" s="13">
        <v>599</v>
      </c>
      <c r="F84" s="5">
        <v>0</v>
      </c>
      <c r="G84" s="5">
        <v>20.399999999999999</v>
      </c>
      <c r="H84" s="14">
        <f t="shared" si="6"/>
        <v>79.599999999999994</v>
      </c>
      <c r="I84" s="13">
        <f t="shared" si="5"/>
        <v>0</v>
      </c>
    </row>
    <row r="85" spans="1:9" ht="15.75">
      <c r="A85" s="26" t="s">
        <v>129</v>
      </c>
      <c r="B85" s="26"/>
      <c r="C85" s="26"/>
      <c r="D85" s="26"/>
      <c r="E85" s="26"/>
      <c r="F85" s="26"/>
      <c r="G85" s="26"/>
      <c r="H85" s="5"/>
      <c r="I85" s="13">
        <f>SUM(I2:I84)</f>
        <v>0</v>
      </c>
    </row>
    <row r="86" spans="1:9" ht="15.75">
      <c r="A86" s="26" t="s">
        <v>130</v>
      </c>
      <c r="B86" s="26"/>
      <c r="C86" s="26"/>
      <c r="D86" s="26"/>
      <c r="E86" s="26"/>
      <c r="F86" s="27">
        <f>SUM(F2:F84)</f>
        <v>0</v>
      </c>
      <c r="G86" s="27"/>
      <c r="H86" s="24"/>
      <c r="I86" s="25">
        <f>I85*1.18</f>
        <v>0</v>
      </c>
    </row>
  </sheetData>
  <autoFilter ref="A1:I86"/>
  <mergeCells count="3">
    <mergeCell ref="A85:G85"/>
    <mergeCell ref="A86:E86"/>
    <mergeCell ref="F86:G86"/>
  </mergeCells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Godrej and Boyce Manufacturing Company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Sharma</dc:creator>
  <cp:lastModifiedBy>Lenovo</cp:lastModifiedBy>
  <dcterms:created xsi:type="dcterms:W3CDTF">2025-01-08T11:41:18Z</dcterms:created>
  <dcterms:modified xsi:type="dcterms:W3CDTF">2026-01-27T11:04:55Z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e56841-897a-4359-87a7-ac954c2e1f5c_Enabled">
    <vt:lpwstr>true</vt:lpwstr>
  </property>
  <property fmtid="{D5CDD505-2E9C-101B-9397-08002B2CF9AE}" pid="3" name="MSIP_Label_16e56841-897a-4359-87a7-ac954c2e1f5c_SetDate">
    <vt:lpwstr>2025-09-26T07:36:36Z</vt:lpwstr>
  </property>
  <property fmtid="{D5CDD505-2E9C-101B-9397-08002B2CF9AE}" pid="4" name="MSIP_Label_16e56841-897a-4359-87a7-ac954c2e1f5c_Method">
    <vt:lpwstr>Privileged</vt:lpwstr>
  </property>
  <property fmtid="{D5CDD505-2E9C-101B-9397-08002B2CF9AE}" pid="5" name="MSIP_Label_16e56841-897a-4359-87a7-ac954c2e1f5c_Name">
    <vt:lpwstr>Public-O365</vt:lpwstr>
  </property>
  <property fmtid="{D5CDD505-2E9C-101B-9397-08002B2CF9AE}" pid="6" name="MSIP_Label_16e56841-897a-4359-87a7-ac954c2e1f5c_SiteId">
    <vt:lpwstr>d44ff723-4fa7-405e-afc0-43c21e573043</vt:lpwstr>
  </property>
  <property fmtid="{D5CDD505-2E9C-101B-9397-08002B2CF9AE}" pid="7" name="MSIP_Label_16e56841-897a-4359-87a7-ac954c2e1f5c_ActionId">
    <vt:lpwstr>93871d24-1ca2-4750-b91d-c7ceb02b5170</vt:lpwstr>
  </property>
  <property fmtid="{D5CDD505-2E9C-101B-9397-08002B2CF9AE}" pid="8" name="MSIP_Label_16e56841-897a-4359-87a7-ac954c2e1f5c_ContentBits">
    <vt:lpwstr>0</vt:lpwstr>
  </property>
</Properties>
</file>